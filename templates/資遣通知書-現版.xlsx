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人資\03-離職單\資遣\"/>
    </mc:Choice>
  </mc:AlternateContent>
  <xr:revisionPtr revIDLastSave="0" documentId="13_ncr:1_{0B84FEF4-19BF-4C36-B12A-0E17F3EADC39}" xr6:coauthVersionLast="47" xr6:coauthVersionMax="47" xr10:uidLastSave="{00000000-0000-0000-0000-000000000000}"/>
  <bookViews>
    <workbookView xWindow="3180" yWindow="1755" windowWidth="25620" windowHeight="14445" activeTab="2" xr2:uid="{00000000-000D-0000-FFFF-FFFF00000000}"/>
  </bookViews>
  <sheets>
    <sheet name="通知書" sheetId="5" r:id="rId1"/>
    <sheet name="平均工資(未滿半年)" sheetId="8" r:id="rId2"/>
    <sheet name="通知書 (2)" sheetId="10" r:id="rId3"/>
    <sheet name="平均工資(滿半年)" sheetId="9" r:id="rId4"/>
  </sheets>
  <definedNames>
    <definedName name="_xlnm.Print_Area" localSheetId="0">通知書!$B$1:$J$17</definedName>
    <definedName name="_xlnm.Print_Area" localSheetId="2">'通知書 (2)'!$B$1:$J$17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9" l="1"/>
  <c r="G9" i="9" l="1"/>
  <c r="G8" i="9"/>
  <c r="J7" i="9"/>
  <c r="G7" i="9"/>
  <c r="L6" i="9"/>
  <c r="J6" i="9"/>
  <c r="N6" i="9" s="1"/>
  <c r="G6" i="9"/>
  <c r="G5" i="9"/>
  <c r="G4" i="9"/>
  <c r="L4" i="9" s="1"/>
  <c r="G3" i="9"/>
  <c r="J3" i="9" s="1"/>
  <c r="H3" i="8"/>
  <c r="L7" i="9" l="1"/>
  <c r="N7" i="9" s="1"/>
  <c r="L3" i="9"/>
  <c r="N3" i="9" s="1"/>
  <c r="J4" i="9"/>
  <c r="N4" i="9" s="1"/>
  <c r="J8" i="9"/>
  <c r="L8" i="9"/>
  <c r="J9" i="9"/>
  <c r="N9" i="9" s="1"/>
  <c r="J5" i="9"/>
  <c r="N5" i="9" s="1"/>
  <c r="L5" i="9"/>
  <c r="N8" i="9" l="1"/>
  <c r="N10" i="9" s="1"/>
  <c r="G11" i="10" s="1"/>
  <c r="G9" i="8" l="1"/>
  <c r="J9" i="8" s="1"/>
  <c r="N9" i="8" s="1"/>
  <c r="G8" i="8"/>
  <c r="G7" i="8"/>
  <c r="L7" i="8" s="1"/>
  <c r="G6" i="8"/>
  <c r="L6" i="8" s="1"/>
  <c r="G5" i="8"/>
  <c r="L5" i="8" s="1"/>
  <c r="G4" i="8"/>
  <c r="G3" i="8"/>
  <c r="L3" i="8" s="1"/>
  <c r="J4" i="8" l="1"/>
  <c r="L4" i="8"/>
  <c r="J7" i="8"/>
  <c r="N7" i="8" s="1"/>
  <c r="J8" i="8"/>
  <c r="J3" i="8"/>
  <c r="N3" i="8" s="1"/>
  <c r="L8" i="8"/>
  <c r="J5" i="8"/>
  <c r="N5" i="8" s="1"/>
  <c r="J6" i="8"/>
  <c r="N6" i="8" s="1"/>
  <c r="N8" i="8" l="1"/>
  <c r="N4" i="8"/>
  <c r="N10" i="8"/>
  <c r="N11" i="8" s="1"/>
  <c r="G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3" authorId="0" shapeId="0" xr:uid="{059B163D-FFCF-4FFF-886C-958017B599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=34000/30*28=31734-34000=-2266
</t>
        </r>
      </text>
    </comment>
    <comment ref="H4" authorId="0" shapeId="0" xr:uid="{282411A7-6CFD-43CF-BCAC-0591086E21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34000/30*25=28334
-34000=-5666</t>
        </r>
      </text>
    </comment>
  </commentList>
</comments>
</file>

<file path=xl/sharedStrings.xml><?xml version="1.0" encoding="utf-8"?>
<sst xmlns="http://schemas.openxmlformats.org/spreadsheetml/2006/main" count="103" uniqueCount="56">
  <si>
    <t>部門</t>
    <phoneticPr fontId="1" type="noConversion"/>
  </si>
  <si>
    <t>身分證字號</t>
    <phoneticPr fontId="1" type="noConversion"/>
  </si>
  <si>
    <t>到職日</t>
    <phoneticPr fontId="1" type="noConversion"/>
  </si>
  <si>
    <t>通訊地址</t>
    <phoneticPr fontId="1" type="noConversion"/>
  </si>
  <si>
    <t>職稱</t>
    <phoneticPr fontId="1" type="noConversion"/>
  </si>
  <si>
    <t>引用條款</t>
    <phoneticPr fontId="1" type="noConversion"/>
  </si>
  <si>
    <t>資遣費計算明細</t>
    <phoneticPr fontId="1" type="noConversion"/>
  </si>
  <si>
    <t>預告日</t>
    <phoneticPr fontId="1" type="noConversion"/>
  </si>
  <si>
    <t>資遣費</t>
    <phoneticPr fontId="1" type="noConversion"/>
  </si>
  <si>
    <t>合計</t>
    <phoneticPr fontId="1" type="noConversion"/>
  </si>
  <si>
    <t>核准</t>
    <phoneticPr fontId="1" type="noConversion"/>
  </si>
  <si>
    <t>■勞基法第 11 條第 5 款</t>
    <phoneticPr fontId="1" type="noConversion"/>
  </si>
  <si>
    <t>擔任之工作確不能勝任</t>
    <phoneticPr fontId="1" type="noConversion"/>
  </si>
  <si>
    <t>離職日</t>
    <phoneticPr fontId="1" type="noConversion"/>
  </si>
  <si>
    <t>審查
(部門主管)</t>
    <phoneticPr fontId="1" type="noConversion"/>
  </si>
  <si>
    <t>連絡
電話</t>
    <phoneticPr fontId="1" type="noConversion"/>
  </si>
  <si>
    <t>平均
工資</t>
    <phoneticPr fontId="1" type="noConversion"/>
  </si>
  <si>
    <t>預告期</t>
    <phoneticPr fontId="1" type="noConversion"/>
  </si>
  <si>
    <t>理由</t>
  </si>
  <si>
    <t>□免職</t>
  </si>
  <si>
    <t>姓名</t>
    <phoneticPr fontId="1" type="noConversion"/>
  </si>
  <si>
    <t>會辦
(會計部)</t>
    <phoneticPr fontId="1" type="noConversion"/>
  </si>
  <si>
    <t>人資部</t>
    <phoneticPr fontId="1" type="noConversion"/>
  </si>
  <si>
    <t>離職員工
同意簽名</t>
    <phoneticPr fontId="1" type="noConversion"/>
  </si>
  <si>
    <t>說明：
離職同仁應遵守保密協定之相關規定，並且不挪用或損毀公司財物與資料、不持有、洩漏或使用因職務獲取之資料及秘密，若有違反公司將請求賠償並應負擔相關法律責任。</t>
    <phoneticPr fontId="1" type="noConversion"/>
  </si>
  <si>
    <t>月份</t>
    <phoneticPr fontId="1" type="noConversion"/>
  </si>
  <si>
    <t>基本薪資</t>
  </si>
  <si>
    <t>職務加給</t>
  </si>
  <si>
    <t>全勤獎金</t>
  </si>
  <si>
    <t>固定薪資</t>
  </si>
  <si>
    <t>遲到</t>
  </si>
  <si>
    <t>扣款</t>
  </si>
  <si>
    <t>時數</t>
  </si>
  <si>
    <t>扣款10</t>
  </si>
  <si>
    <t>事假</t>
    <phoneticPr fontId="1" type="noConversion"/>
  </si>
  <si>
    <t>應稅薪資</t>
  </si>
  <si>
    <t>其它</t>
  </si>
  <si>
    <t>年份</t>
    <phoneticPr fontId="1" type="noConversion"/>
  </si>
  <si>
    <t>每月平均工資</t>
    <phoneticPr fontId="1" type="noConversion"/>
  </si>
  <si>
    <t>未足月</t>
    <phoneticPr fontId="1" type="noConversion"/>
  </si>
  <si>
    <t>薪資
發放日</t>
    <phoneticPr fontId="1" type="noConversion"/>
  </si>
  <si>
    <t>勞動基準法施行細則第2條第1款規定「發生計算事由之當日」不列入計算</t>
    <phoneticPr fontId="1" type="noConversion"/>
  </si>
  <si>
    <t>年資
(日)</t>
    <phoneticPr fontId="1" type="noConversion"/>
  </si>
  <si>
    <r>
      <rPr>
        <sz val="22"/>
        <rFont val="標楷體"/>
        <family val="4"/>
        <charset val="136"/>
      </rPr>
      <t>創思影像有限公司</t>
    </r>
    <r>
      <rPr>
        <sz val="24"/>
        <color theme="1"/>
        <rFont val="標楷體"/>
        <family val="4"/>
        <charset val="136"/>
      </rPr>
      <t xml:space="preserve">
</t>
    </r>
    <r>
      <rPr>
        <sz val="20"/>
        <color theme="1"/>
        <rFont val="標楷體"/>
        <family val="4"/>
        <charset val="136"/>
      </rPr>
      <t>員工資遣通知書</t>
    </r>
    <phoneticPr fontId="1" type="noConversion"/>
  </si>
  <si>
    <t>劉柏伶</t>
    <phoneticPr fontId="1" type="noConversion"/>
  </si>
  <si>
    <t>新北市板橋區中正路41號</t>
    <phoneticPr fontId="1" type="noConversion"/>
  </si>
  <si>
    <t>聲量部</t>
    <phoneticPr fontId="1" type="noConversion"/>
  </si>
  <si>
    <t>行銷企劃</t>
    <phoneticPr fontId="1" type="noConversion"/>
  </si>
  <si>
    <t>S224336881</t>
    <phoneticPr fontId="1" type="noConversion"/>
  </si>
  <si>
    <t>0919-501-827</t>
    <phoneticPr fontId="1" type="noConversion"/>
  </si>
  <si>
    <t>0日</t>
    <phoneticPr fontId="1" type="noConversion"/>
  </si>
  <si>
    <t>114/8/4</t>
    <phoneticPr fontId="1" type="noConversion"/>
  </si>
  <si>
    <t>114/8/11</t>
    <phoneticPr fontId="1" type="noConversion"/>
  </si>
  <si>
    <t>114/9/5</t>
    <phoneticPr fontId="1" type="noConversion"/>
  </si>
  <si>
    <r>
      <rPr>
        <sz val="22"/>
        <rFont val="標楷體"/>
        <family val="4"/>
        <charset val="136"/>
      </rPr>
      <t>搜博科技股份有限公司</t>
    </r>
    <r>
      <rPr>
        <sz val="24"/>
        <color theme="1"/>
        <rFont val="標楷體"/>
        <family val="4"/>
        <charset val="136"/>
      </rPr>
      <t xml:space="preserve">
</t>
    </r>
    <r>
      <rPr>
        <sz val="20"/>
        <color theme="1"/>
        <rFont val="標楷體"/>
        <family val="4"/>
        <charset val="136"/>
      </rPr>
      <t>員工資遣通知書</t>
    </r>
    <phoneticPr fontId="1" type="noConversion"/>
  </si>
  <si>
    <t>非自願離職的「平均工資」（如計算資遣費、舊制退休金）： 依《勞動基準法》第 2 條第 4 款規定，是指計算事由發生之當日前 6 個月內所得工資總額，除以該期間的「在職總日數」（含頭含尾的實際曆天數）。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</si>
</sst>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_);[Red]\(#,##0.0\)"/>
    <numFmt numFmtId="177" formatCode="#,##0_);[Red]\(#,##0\)"/>
    <numFmt numFmtId="178" formatCode="#,##0_ "/>
    <numFmt numFmtId="179" formatCode="[$-F800]dddd\,\ mmmm\ dd\,\ yyyy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24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22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ECE"/>
        <bgColor rgb="FFD0CECE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176" fontId="10" fillId="3" borderId="15" xfId="0" applyNumberFormat="1" applyFont="1" applyFill="1" applyBorder="1" applyAlignment="1">
      <alignment horizontal="center" wrapText="1"/>
    </xf>
    <xf numFmtId="177" fontId="10" fillId="3" borderId="15" xfId="0" applyNumberFormat="1" applyFont="1" applyFill="1" applyBorder="1" applyAlignment="1">
      <alignment horizontal="center" wrapText="1"/>
    </xf>
    <xf numFmtId="177" fontId="10" fillId="0" borderId="15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8" fontId="3" fillId="0" borderId="17" xfId="0" applyNumberFormat="1" applyFont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178" fontId="3" fillId="0" borderId="20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12" fillId="0" borderId="0" xfId="1">
      <alignment vertical="center"/>
    </xf>
    <xf numFmtId="176" fontId="10" fillId="3" borderId="13" xfId="0" applyNumberFormat="1" applyFont="1" applyFill="1" applyBorder="1" applyAlignment="1">
      <alignment horizontal="center" wrapText="1"/>
    </xf>
    <xf numFmtId="176" fontId="10" fillId="3" borderId="14" xfId="0" applyNumberFormat="1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/>
    </xf>
    <xf numFmtId="179" fontId="4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28575</xdr:colOff>
      <xdr:row>0</xdr:row>
      <xdr:rowOff>133350</xdr:rowOff>
    </xdr:from>
    <xdr:to>
      <xdr:col>22</xdr:col>
      <xdr:colOff>0</xdr:colOff>
      <xdr:row>11</xdr:row>
      <xdr:rowOff>66381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040F684-3FFF-46A2-854C-317C47FF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9400" y="133350"/>
          <a:ext cx="3362325" cy="2276181"/>
        </a:xfrm>
        <a:prstGeom prst="rect">
          <a:avLst/>
        </a:prstGeom>
      </xdr:spPr>
    </xdr:pic>
    <xdr:clientData/>
  </xdr:twoCellAnchor>
  <xdr:twoCellAnchor editAs="oneCell">
    <xdr:from>
      <xdr:col>17</xdr:col>
      <xdr:colOff>38099</xdr:colOff>
      <xdr:row>11</xdr:row>
      <xdr:rowOff>180974</xdr:rowOff>
    </xdr:from>
    <xdr:to>
      <xdr:col>27</xdr:col>
      <xdr:colOff>46880</xdr:colOff>
      <xdr:row>20</xdr:row>
      <xdr:rowOff>3809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33C1FF5-F790-4E96-B003-2A5C5E73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58924" y="2524124"/>
          <a:ext cx="6866781" cy="1704975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20</xdr:row>
      <xdr:rowOff>180975</xdr:rowOff>
    </xdr:from>
    <xdr:to>
      <xdr:col>22</xdr:col>
      <xdr:colOff>427468</xdr:colOff>
      <xdr:row>38</xdr:row>
      <xdr:rowOff>85265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8D9193E-741D-B976-0341-00BE9E4C0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0150" y="4410075"/>
          <a:ext cx="9257143" cy="3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12</xdr:row>
      <xdr:rowOff>104775</xdr:rowOff>
    </xdr:from>
    <xdr:to>
      <xdr:col>9</xdr:col>
      <xdr:colOff>598976</xdr:colOff>
      <xdr:row>44</xdr:row>
      <xdr:rowOff>142032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880AA5B-76F6-3F27-9B4A-443AB6375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2657475"/>
          <a:ext cx="8790476" cy="67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28575</xdr:colOff>
      <xdr:row>0</xdr:row>
      <xdr:rowOff>133350</xdr:rowOff>
    </xdr:from>
    <xdr:to>
      <xdr:col>22</xdr:col>
      <xdr:colOff>0</xdr:colOff>
      <xdr:row>11</xdr:row>
      <xdr:rowOff>66381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258BB96-7D47-492F-924A-1A127D2D6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9400" y="133350"/>
          <a:ext cx="3362325" cy="2276181"/>
        </a:xfrm>
        <a:prstGeom prst="rect">
          <a:avLst/>
        </a:prstGeom>
      </xdr:spPr>
    </xdr:pic>
    <xdr:clientData/>
  </xdr:twoCellAnchor>
  <xdr:twoCellAnchor editAs="oneCell">
    <xdr:from>
      <xdr:col>17</xdr:col>
      <xdr:colOff>38099</xdr:colOff>
      <xdr:row>11</xdr:row>
      <xdr:rowOff>180974</xdr:rowOff>
    </xdr:from>
    <xdr:to>
      <xdr:col>27</xdr:col>
      <xdr:colOff>46880</xdr:colOff>
      <xdr:row>20</xdr:row>
      <xdr:rowOff>3809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D7067A3-0CE2-4222-A727-9D1CE63F2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58924" y="2524124"/>
          <a:ext cx="6866781" cy="1704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aw.moj.gov.tw/LawClass/LawSingle.aspx?pcode=N0030002&amp;flno=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law.moj.gov.tw/LawClass/LawSingle.aspx?pcode=N0030002&amp;flno=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7184-45C6-4296-A3A4-223892B422C9}">
  <sheetPr>
    <tabColor theme="4"/>
    <pageSetUpPr fitToPage="1"/>
  </sheetPr>
  <dimension ref="B1:L17"/>
  <sheetViews>
    <sheetView topLeftCell="A3" zoomScale="90" zoomScaleNormal="90" zoomScaleSheetLayoutView="100" workbookViewId="0">
      <selection activeCell="G10" sqref="G10:J10"/>
    </sheetView>
  </sheetViews>
  <sheetFormatPr defaultColWidth="15.5" defaultRowHeight="35.1" customHeight="1" x14ac:dyDescent="0.25"/>
  <cols>
    <col min="1" max="1" width="15.5" style="1"/>
    <col min="2" max="2" width="20.375" style="1" customWidth="1"/>
    <col min="3" max="3" width="12.25" style="1" customWidth="1"/>
    <col min="4" max="4" width="10.75" style="1" customWidth="1"/>
    <col min="5" max="5" width="10.25" style="1" customWidth="1"/>
    <col min="6" max="6" width="10.75" style="1" customWidth="1"/>
    <col min="7" max="7" width="3.25" style="1" customWidth="1"/>
    <col min="8" max="8" width="13.875" style="1" customWidth="1"/>
    <col min="9" max="9" width="10" style="1" customWidth="1"/>
    <col min="10" max="10" width="6.75" style="1" customWidth="1"/>
    <col min="11" max="16384" width="15.5" style="1"/>
  </cols>
  <sheetData>
    <row r="1" spans="2:12" ht="33" customHeight="1" x14ac:dyDescent="0.25">
      <c r="B1" s="64" t="s">
        <v>43</v>
      </c>
      <c r="C1" s="65"/>
      <c r="D1" s="65"/>
      <c r="E1" s="65"/>
      <c r="F1" s="65"/>
      <c r="G1" s="65"/>
      <c r="H1" s="65"/>
      <c r="I1" s="65"/>
      <c r="J1" s="65"/>
      <c r="L1" s="24" t="s">
        <v>41</v>
      </c>
    </row>
    <row r="2" spans="2:12" ht="33" customHeight="1" thickBot="1" x14ac:dyDescent="0.3">
      <c r="B2" s="66"/>
      <c r="C2" s="66"/>
      <c r="D2" s="66"/>
      <c r="E2" s="66"/>
      <c r="F2" s="66"/>
      <c r="G2" s="66"/>
      <c r="H2" s="66"/>
      <c r="I2" s="66"/>
      <c r="J2" s="66"/>
    </row>
    <row r="3" spans="2:12" ht="46.5" customHeight="1" x14ac:dyDescent="0.25">
      <c r="B3" s="8" t="s">
        <v>20</v>
      </c>
      <c r="C3" s="61" t="s">
        <v>44</v>
      </c>
      <c r="D3" s="61"/>
      <c r="E3" s="61"/>
      <c r="F3" s="9" t="s">
        <v>1</v>
      </c>
      <c r="G3" s="61" t="s">
        <v>48</v>
      </c>
      <c r="H3" s="61"/>
      <c r="I3" s="61"/>
      <c r="J3" s="62"/>
    </row>
    <row r="4" spans="2:12" ht="50.45" customHeight="1" x14ac:dyDescent="0.25">
      <c r="B4" s="6" t="s">
        <v>3</v>
      </c>
      <c r="C4" s="63" t="s">
        <v>45</v>
      </c>
      <c r="D4" s="63"/>
      <c r="E4" s="63"/>
      <c r="F4" s="4" t="s">
        <v>15</v>
      </c>
      <c r="G4" s="49" t="s">
        <v>49</v>
      </c>
      <c r="H4" s="49"/>
      <c r="I4" s="49"/>
      <c r="J4" s="50"/>
    </row>
    <row r="5" spans="2:12" ht="35.1" customHeight="1" x14ac:dyDescent="0.25">
      <c r="B5" s="54" t="s">
        <v>0</v>
      </c>
      <c r="C5" s="49" t="s">
        <v>46</v>
      </c>
      <c r="D5" s="60" t="s">
        <v>4</v>
      </c>
      <c r="E5" s="49" t="s">
        <v>47</v>
      </c>
      <c r="F5" s="7" t="s">
        <v>17</v>
      </c>
      <c r="G5" s="49" t="s">
        <v>50</v>
      </c>
      <c r="H5" s="49"/>
      <c r="I5" s="49"/>
      <c r="J5" s="50"/>
    </row>
    <row r="6" spans="2:12" ht="41.1" customHeight="1" x14ac:dyDescent="0.25">
      <c r="B6" s="54"/>
      <c r="C6" s="49"/>
      <c r="D6" s="60"/>
      <c r="E6" s="49"/>
      <c r="F6" s="4" t="s">
        <v>7</v>
      </c>
      <c r="G6" s="49" t="s">
        <v>50</v>
      </c>
      <c r="H6" s="49"/>
      <c r="I6" s="49"/>
      <c r="J6" s="50"/>
    </row>
    <row r="7" spans="2:12" ht="40.5" customHeight="1" x14ac:dyDescent="0.25">
      <c r="B7" s="53" t="s">
        <v>5</v>
      </c>
      <c r="C7" s="49" t="s">
        <v>19</v>
      </c>
      <c r="D7" s="49"/>
      <c r="E7" s="49"/>
      <c r="F7" s="4" t="s">
        <v>40</v>
      </c>
      <c r="G7" s="55" t="s">
        <v>53</v>
      </c>
      <c r="H7" s="55"/>
      <c r="I7" s="55"/>
      <c r="J7" s="56"/>
      <c r="L7" s="2"/>
    </row>
    <row r="8" spans="2:12" ht="44.45" customHeight="1" x14ac:dyDescent="0.25">
      <c r="B8" s="54"/>
      <c r="C8" s="49" t="s">
        <v>11</v>
      </c>
      <c r="D8" s="49"/>
      <c r="E8" s="49"/>
      <c r="F8" s="4" t="s">
        <v>18</v>
      </c>
      <c r="G8" s="49" t="s">
        <v>12</v>
      </c>
      <c r="H8" s="49"/>
      <c r="I8" s="49"/>
      <c r="J8" s="50"/>
      <c r="L8" s="2"/>
    </row>
    <row r="9" spans="2:12" ht="42" customHeight="1" x14ac:dyDescent="0.25">
      <c r="B9" s="57" t="s">
        <v>6</v>
      </c>
      <c r="C9" s="58"/>
      <c r="D9" s="58"/>
      <c r="E9" s="58"/>
      <c r="F9" s="58"/>
      <c r="G9" s="58"/>
      <c r="H9" s="58"/>
      <c r="I9" s="58"/>
      <c r="J9" s="59"/>
      <c r="L9" s="2"/>
    </row>
    <row r="10" spans="2:12" ht="54" customHeight="1" x14ac:dyDescent="0.25">
      <c r="B10" s="6" t="s">
        <v>2</v>
      </c>
      <c r="C10" s="49" t="s">
        <v>51</v>
      </c>
      <c r="D10" s="49"/>
      <c r="E10" s="49"/>
      <c r="F10" s="4" t="s">
        <v>42</v>
      </c>
      <c r="G10" s="49">
        <v>8</v>
      </c>
      <c r="H10" s="49"/>
      <c r="I10" s="49"/>
      <c r="J10" s="50"/>
      <c r="L10" s="2"/>
    </row>
    <row r="11" spans="2:12" ht="57.6" customHeight="1" x14ac:dyDescent="0.25">
      <c r="B11" s="6" t="s">
        <v>13</v>
      </c>
      <c r="C11" s="49" t="s">
        <v>52</v>
      </c>
      <c r="D11" s="49"/>
      <c r="E11" s="49"/>
      <c r="F11" s="4" t="s">
        <v>16</v>
      </c>
      <c r="G11" s="51">
        <f>'平均工資(未滿半年)'!N11</f>
        <v>135608.70000000001</v>
      </c>
      <c r="H11" s="51"/>
      <c r="I11" s="51"/>
      <c r="J11" s="52"/>
      <c r="L11" s="2"/>
    </row>
    <row r="12" spans="2:12" ht="47.1" customHeight="1" x14ac:dyDescent="0.25">
      <c r="B12" s="6" t="s">
        <v>8</v>
      </c>
      <c r="C12" s="47">
        <v>228</v>
      </c>
      <c r="D12" s="47"/>
      <c r="E12" s="47"/>
      <c r="F12" s="47"/>
      <c r="G12" s="47"/>
      <c r="H12" s="47"/>
      <c r="I12" s="47"/>
      <c r="J12" s="48"/>
      <c r="L12" s="3"/>
    </row>
    <row r="13" spans="2:12" ht="23.25" customHeight="1" x14ac:dyDescent="0.25">
      <c r="B13" s="36" t="s">
        <v>24</v>
      </c>
      <c r="C13" s="37"/>
      <c r="D13" s="37"/>
      <c r="E13" s="37"/>
      <c r="F13" s="37"/>
      <c r="G13" s="37"/>
      <c r="H13" s="37"/>
      <c r="I13" s="37"/>
      <c r="J13" s="38"/>
    </row>
    <row r="14" spans="2:12" ht="24" customHeight="1" x14ac:dyDescent="0.25">
      <c r="B14" s="39"/>
      <c r="C14" s="40"/>
      <c r="D14" s="40"/>
      <c r="E14" s="40"/>
      <c r="F14" s="40"/>
      <c r="G14" s="40"/>
      <c r="H14" s="40"/>
      <c r="I14" s="40"/>
      <c r="J14" s="41"/>
    </row>
    <row r="15" spans="2:12" ht="30" customHeight="1" x14ac:dyDescent="0.25">
      <c r="B15" s="42"/>
      <c r="C15" s="43"/>
      <c r="D15" s="43"/>
      <c r="E15" s="43"/>
      <c r="F15" s="43"/>
      <c r="G15" s="43"/>
      <c r="H15" s="43"/>
      <c r="I15" s="43"/>
      <c r="J15" s="44"/>
    </row>
    <row r="16" spans="2:12" ht="55.5" customHeight="1" x14ac:dyDescent="0.25">
      <c r="B16" s="5" t="s">
        <v>10</v>
      </c>
      <c r="C16" s="45" t="s">
        <v>21</v>
      </c>
      <c r="D16" s="45"/>
      <c r="E16" s="45" t="s">
        <v>22</v>
      </c>
      <c r="F16" s="45"/>
      <c r="G16" s="45" t="s">
        <v>14</v>
      </c>
      <c r="H16" s="45"/>
      <c r="I16" s="45" t="s">
        <v>23</v>
      </c>
      <c r="J16" s="46"/>
    </row>
    <row r="17" spans="2:10" ht="104.25" customHeight="1" thickBot="1" x14ac:dyDescent="0.3">
      <c r="B17" s="10"/>
      <c r="C17" s="34"/>
      <c r="D17" s="34"/>
      <c r="E17" s="34"/>
      <c r="F17" s="34"/>
      <c r="G17" s="34"/>
      <c r="H17" s="34"/>
      <c r="I17" s="34"/>
      <c r="J17" s="35"/>
    </row>
  </sheetData>
  <mergeCells count="31">
    <mergeCell ref="C3:E3"/>
    <mergeCell ref="G3:J3"/>
    <mergeCell ref="C4:E4"/>
    <mergeCell ref="G4:J4"/>
    <mergeCell ref="B1:J2"/>
    <mergeCell ref="B5:B6"/>
    <mergeCell ref="C5:C6"/>
    <mergeCell ref="D5:D6"/>
    <mergeCell ref="E5:E6"/>
    <mergeCell ref="G5:J5"/>
    <mergeCell ref="G6:J6"/>
    <mergeCell ref="B7:B8"/>
    <mergeCell ref="G7:J7"/>
    <mergeCell ref="G8:J8"/>
    <mergeCell ref="B9:J9"/>
    <mergeCell ref="C7:E7"/>
    <mergeCell ref="C8:E8"/>
    <mergeCell ref="C12:J12"/>
    <mergeCell ref="C10:E10"/>
    <mergeCell ref="G10:J10"/>
    <mergeCell ref="C11:E11"/>
    <mergeCell ref="G11:J11"/>
    <mergeCell ref="C17:D17"/>
    <mergeCell ref="E17:F17"/>
    <mergeCell ref="G17:H17"/>
    <mergeCell ref="I17:J17"/>
    <mergeCell ref="B13:J15"/>
    <mergeCell ref="C16:D16"/>
    <mergeCell ref="E16:F16"/>
    <mergeCell ref="G16:H16"/>
    <mergeCell ref="I16:J16"/>
  </mergeCells>
  <phoneticPr fontId="1" type="noConversion"/>
  <hyperlinks>
    <hyperlink ref="L1" r:id="rId1" xr:uid="{1FD1547B-D6DD-4A1F-8D51-DB791BE779EA}"/>
  </hyperlinks>
  <printOptions horizontalCentered="1"/>
  <pageMargins left="0.62992125984251968" right="0.62992125984251968" top="0.94488188976377963" bottom="0.94488188976377963" header="0.31496062992125984" footer="0.31496062992125984"/>
  <pageSetup paperSize="9" scale="90" fitToHeight="0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429B-8034-41FF-BCF8-5AA78990E0C8}">
  <dimension ref="B1:AA11"/>
  <sheetViews>
    <sheetView workbookViewId="0">
      <selection activeCell="L17" sqref="L17"/>
    </sheetView>
  </sheetViews>
  <sheetFormatPr defaultColWidth="9" defaultRowHeight="16.5" x14ac:dyDescent="0.25"/>
  <cols>
    <col min="1" max="2" width="9" style="1"/>
    <col min="3" max="3" width="9" style="11"/>
    <col min="4" max="8" width="14.875" style="1" customWidth="1"/>
    <col min="9" max="13" width="9" style="1"/>
    <col min="14" max="14" width="13.25" style="1" customWidth="1"/>
    <col min="15" max="16384" width="9" style="1"/>
  </cols>
  <sheetData>
    <row r="1" spans="2:27" ht="17.25" thickBot="1" x14ac:dyDescent="0.3">
      <c r="K1" s="25" t="s">
        <v>34</v>
      </c>
      <c r="L1" s="26"/>
    </row>
    <row r="2" spans="2:27" ht="17.25" thickTop="1" x14ac:dyDescent="0.25">
      <c r="B2" s="12" t="s">
        <v>37</v>
      </c>
      <c r="C2" s="12" t="s">
        <v>25</v>
      </c>
      <c r="D2" s="12" t="s">
        <v>26</v>
      </c>
      <c r="E2" s="12" t="s">
        <v>27</v>
      </c>
      <c r="F2" s="13" t="s">
        <v>28</v>
      </c>
      <c r="G2" s="12" t="s">
        <v>29</v>
      </c>
      <c r="H2" s="12" t="s">
        <v>39</v>
      </c>
      <c r="I2" s="13" t="s">
        <v>30</v>
      </c>
      <c r="J2" s="13" t="s">
        <v>31</v>
      </c>
      <c r="K2" s="14" t="s">
        <v>32</v>
      </c>
      <c r="L2" s="15" t="s">
        <v>33</v>
      </c>
      <c r="M2" s="16" t="s">
        <v>36</v>
      </c>
      <c r="N2" s="16" t="s">
        <v>35</v>
      </c>
      <c r="X2" s="67" t="s">
        <v>55</v>
      </c>
      <c r="Y2" s="67"/>
      <c r="Z2" s="67"/>
      <c r="AA2" s="67"/>
    </row>
    <row r="3" spans="2:27" x14ac:dyDescent="0.25">
      <c r="B3" s="27">
        <v>114</v>
      </c>
      <c r="C3" s="17">
        <v>11</v>
      </c>
      <c r="D3" s="18">
        <v>34000</v>
      </c>
      <c r="E3" s="18">
        <v>0</v>
      </c>
      <c r="F3" s="18"/>
      <c r="G3" s="18">
        <f>D3+F3</f>
        <v>34000</v>
      </c>
      <c r="H3" s="23">
        <f>(41000/30)*8-41000</f>
        <v>-30066.666666666664</v>
      </c>
      <c r="I3" s="18"/>
      <c r="J3" s="18">
        <f>ROUND((G3/30/8/60)*I3,0)</f>
        <v>0</v>
      </c>
      <c r="K3" s="18">
        <v>2.5</v>
      </c>
      <c r="L3" s="20">
        <f t="shared" ref="L3:L7" si="0">ROUND((G3/30/8)*K3,0)</f>
        <v>354</v>
      </c>
      <c r="M3" s="18"/>
      <c r="N3" s="18">
        <f>G3-J3-L3+M3+H3</f>
        <v>3579.3333333333358</v>
      </c>
      <c r="X3" s="67"/>
      <c r="Y3" s="67"/>
      <c r="Z3" s="67"/>
      <c r="AA3" s="67"/>
    </row>
    <row r="4" spans="2:27" x14ac:dyDescent="0.25">
      <c r="B4" s="28"/>
      <c r="C4" s="17">
        <v>10</v>
      </c>
      <c r="D4" s="18">
        <v>34000</v>
      </c>
      <c r="E4" s="18"/>
      <c r="F4" s="18"/>
      <c r="G4" s="18">
        <f t="shared" ref="G4:G9" si="1">D4+F4</f>
        <v>34000</v>
      </c>
      <c r="H4" s="18"/>
      <c r="I4" s="18"/>
      <c r="J4" s="18">
        <f t="shared" ref="J4:J9" si="2">ROUND((G4/30/8/60)*I4,0)</f>
        <v>0</v>
      </c>
      <c r="K4" s="18">
        <v>10</v>
      </c>
      <c r="L4" s="20">
        <f t="shared" si="0"/>
        <v>1417</v>
      </c>
      <c r="M4" s="18"/>
      <c r="N4" s="18">
        <f t="shared" ref="N4:N9" si="3">G4-J4-L4+M4+H4</f>
        <v>32583</v>
      </c>
      <c r="X4" s="67"/>
      <c r="Y4" s="67"/>
      <c r="Z4" s="67"/>
      <c r="AA4" s="67"/>
    </row>
    <row r="5" spans="2:27" x14ac:dyDescent="0.25">
      <c r="B5" s="28"/>
      <c r="C5" s="17"/>
      <c r="D5" s="18"/>
      <c r="E5" s="18"/>
      <c r="F5" s="18"/>
      <c r="G5" s="18">
        <f t="shared" si="1"/>
        <v>0</v>
      </c>
      <c r="H5" s="18"/>
      <c r="I5" s="18"/>
      <c r="J5" s="18">
        <f t="shared" si="2"/>
        <v>0</v>
      </c>
      <c r="K5" s="18"/>
      <c r="L5" s="20">
        <f t="shared" si="0"/>
        <v>0</v>
      </c>
      <c r="M5" s="18"/>
      <c r="N5" s="18">
        <f t="shared" si="3"/>
        <v>0</v>
      </c>
      <c r="X5" s="67"/>
      <c r="Y5" s="67"/>
      <c r="Z5" s="67"/>
      <c r="AA5" s="67"/>
    </row>
    <row r="6" spans="2:27" x14ac:dyDescent="0.25">
      <c r="B6" s="28"/>
      <c r="C6" s="17"/>
      <c r="D6" s="18"/>
      <c r="E6" s="18"/>
      <c r="F6" s="18"/>
      <c r="G6" s="18">
        <f t="shared" si="1"/>
        <v>0</v>
      </c>
      <c r="H6" s="23"/>
      <c r="I6" s="18"/>
      <c r="J6" s="18">
        <f t="shared" si="2"/>
        <v>0</v>
      </c>
      <c r="K6" s="18"/>
      <c r="L6" s="20">
        <f t="shared" si="0"/>
        <v>0</v>
      </c>
      <c r="M6" s="18"/>
      <c r="N6" s="18">
        <f t="shared" si="3"/>
        <v>0</v>
      </c>
      <c r="X6" s="67"/>
      <c r="Y6" s="67"/>
      <c r="Z6" s="67"/>
      <c r="AA6" s="67"/>
    </row>
    <row r="7" spans="2:27" x14ac:dyDescent="0.25">
      <c r="B7" s="28"/>
      <c r="C7" s="17"/>
      <c r="D7" s="18"/>
      <c r="E7" s="18"/>
      <c r="F7" s="18"/>
      <c r="G7" s="18">
        <f t="shared" si="1"/>
        <v>0</v>
      </c>
      <c r="H7" s="18"/>
      <c r="I7" s="18"/>
      <c r="J7" s="18">
        <f t="shared" si="2"/>
        <v>0</v>
      </c>
      <c r="K7" s="18"/>
      <c r="L7" s="20">
        <f t="shared" si="0"/>
        <v>0</v>
      </c>
      <c r="M7" s="18"/>
      <c r="N7" s="18">
        <f t="shared" si="3"/>
        <v>0</v>
      </c>
      <c r="X7" s="67"/>
      <c r="Y7" s="67"/>
      <c r="Z7" s="67"/>
      <c r="AA7" s="67"/>
    </row>
    <row r="8" spans="2:27" x14ac:dyDescent="0.25">
      <c r="B8" s="29"/>
      <c r="C8" s="19"/>
      <c r="D8" s="18"/>
      <c r="E8" s="20"/>
      <c r="F8" s="18"/>
      <c r="G8" s="20">
        <f t="shared" si="1"/>
        <v>0</v>
      </c>
      <c r="H8" s="23"/>
      <c r="I8" s="20"/>
      <c r="J8" s="20">
        <f t="shared" si="2"/>
        <v>0</v>
      </c>
      <c r="K8" s="20"/>
      <c r="L8" s="20">
        <f>ROUND((G8/30/8)*K8,0)</f>
        <v>0</v>
      </c>
      <c r="M8" s="20"/>
      <c r="N8" s="18">
        <f t="shared" si="3"/>
        <v>0</v>
      </c>
      <c r="X8" s="67"/>
      <c r="Y8" s="67"/>
      <c r="Z8" s="67"/>
      <c r="AA8" s="67"/>
    </row>
    <row r="9" spans="2:27" ht="17.25" thickBot="1" x14ac:dyDescent="0.3">
      <c r="B9" s="17"/>
      <c r="C9" s="19"/>
      <c r="D9" s="20"/>
      <c r="E9" s="20"/>
      <c r="F9" s="18"/>
      <c r="G9" s="20">
        <f t="shared" si="1"/>
        <v>0</v>
      </c>
      <c r="H9" s="23"/>
      <c r="I9" s="20"/>
      <c r="J9" s="20">
        <f t="shared" si="2"/>
        <v>0</v>
      </c>
      <c r="K9" s="20"/>
      <c r="L9" s="20"/>
      <c r="M9" s="20"/>
      <c r="N9" s="18">
        <f t="shared" si="3"/>
        <v>0</v>
      </c>
      <c r="X9" s="67"/>
      <c r="Y9" s="67"/>
      <c r="Z9" s="67"/>
      <c r="AA9" s="67"/>
    </row>
    <row r="10" spans="2:27" x14ac:dyDescent="0.25">
      <c r="B10" s="30" t="s">
        <v>9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21">
        <f>SUM(N3:N9)</f>
        <v>36162.333333333336</v>
      </c>
      <c r="X10" s="67"/>
      <c r="Y10" s="67"/>
      <c r="Z10" s="67"/>
      <c r="AA10" s="67"/>
    </row>
    <row r="11" spans="2:27" ht="17.25" thickBot="1" x14ac:dyDescent="0.3">
      <c r="B11" s="32" t="s">
        <v>38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22">
        <f>ROUND($N$10/通知書!$G$10,2)*30</f>
        <v>135608.70000000001</v>
      </c>
      <c r="O11" s="2"/>
      <c r="X11" s="67"/>
      <c r="Y11" s="67"/>
      <c r="Z11" s="67"/>
      <c r="AA11" s="67"/>
    </row>
  </sheetData>
  <mergeCells count="5">
    <mergeCell ref="K1:L1"/>
    <mergeCell ref="B3:B8"/>
    <mergeCell ref="B10:M10"/>
    <mergeCell ref="B11:M11"/>
    <mergeCell ref="X2:AA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C548-077C-4FD1-9687-6BBFCA1657EF}">
  <sheetPr>
    <tabColor theme="4"/>
    <pageSetUpPr fitToPage="1"/>
  </sheetPr>
  <dimension ref="B1:L17"/>
  <sheetViews>
    <sheetView tabSelected="1" topLeftCell="A8" zoomScale="90" zoomScaleNormal="90" zoomScaleSheetLayoutView="100" workbookViewId="0">
      <selection activeCell="G10" sqref="G10:J10"/>
    </sheetView>
  </sheetViews>
  <sheetFormatPr defaultColWidth="15.5" defaultRowHeight="35.1" customHeight="1" x14ac:dyDescent="0.25"/>
  <cols>
    <col min="1" max="1" width="15.5" style="1"/>
    <col min="2" max="2" width="20.375" style="1" customWidth="1"/>
    <col min="3" max="3" width="12.25" style="1" customWidth="1"/>
    <col min="4" max="4" width="10.75" style="1" customWidth="1"/>
    <col min="5" max="5" width="10.25" style="1" customWidth="1"/>
    <col min="6" max="6" width="10.75" style="1" customWidth="1"/>
    <col min="7" max="7" width="3.25" style="1" customWidth="1"/>
    <col min="8" max="8" width="13.875" style="1" customWidth="1"/>
    <col min="9" max="9" width="10" style="1" customWidth="1"/>
    <col min="10" max="10" width="6.75" style="1" customWidth="1"/>
    <col min="11" max="16384" width="15.5" style="1"/>
  </cols>
  <sheetData>
    <row r="1" spans="2:12" ht="33" customHeight="1" x14ac:dyDescent="0.25">
      <c r="B1" s="64" t="s">
        <v>54</v>
      </c>
      <c r="C1" s="65"/>
      <c r="D1" s="65"/>
      <c r="E1" s="65"/>
      <c r="F1" s="65"/>
      <c r="G1" s="65"/>
      <c r="H1" s="65"/>
      <c r="I1" s="65"/>
      <c r="J1" s="65"/>
      <c r="L1" s="24" t="s">
        <v>41</v>
      </c>
    </row>
    <row r="2" spans="2:12" ht="33" customHeight="1" thickBot="1" x14ac:dyDescent="0.3">
      <c r="B2" s="66"/>
      <c r="C2" s="66"/>
      <c r="D2" s="66"/>
      <c r="E2" s="66"/>
      <c r="F2" s="66"/>
      <c r="G2" s="66"/>
      <c r="H2" s="66"/>
      <c r="I2" s="66"/>
      <c r="J2" s="66"/>
    </row>
    <row r="3" spans="2:12" ht="46.5" customHeight="1" x14ac:dyDescent="0.25">
      <c r="B3" s="8" t="s">
        <v>20</v>
      </c>
      <c r="C3" s="61"/>
      <c r="D3" s="61"/>
      <c r="E3" s="61"/>
      <c r="F3" s="9" t="s">
        <v>1</v>
      </c>
      <c r="G3" s="61"/>
      <c r="H3" s="61"/>
      <c r="I3" s="61"/>
      <c r="J3" s="62"/>
    </row>
    <row r="4" spans="2:12" ht="50.45" customHeight="1" x14ac:dyDescent="0.25">
      <c r="B4" s="6" t="s">
        <v>3</v>
      </c>
      <c r="C4" s="63"/>
      <c r="D4" s="63"/>
      <c r="E4" s="63"/>
      <c r="F4" s="4" t="s">
        <v>15</v>
      </c>
      <c r="G4" s="49"/>
      <c r="H4" s="49"/>
      <c r="I4" s="49"/>
      <c r="J4" s="50"/>
    </row>
    <row r="5" spans="2:12" ht="35.1" customHeight="1" x14ac:dyDescent="0.25">
      <c r="B5" s="54" t="s">
        <v>0</v>
      </c>
      <c r="C5" s="49"/>
      <c r="D5" s="60" t="s">
        <v>4</v>
      </c>
      <c r="E5" s="49"/>
      <c r="F5" s="7" t="s">
        <v>17</v>
      </c>
      <c r="G5" s="49" t="s">
        <v>50</v>
      </c>
      <c r="H5" s="49"/>
      <c r="I5" s="49"/>
      <c r="J5" s="50"/>
    </row>
    <row r="6" spans="2:12" ht="41.1" customHeight="1" x14ac:dyDescent="0.25">
      <c r="B6" s="54"/>
      <c r="C6" s="49"/>
      <c r="D6" s="60"/>
      <c r="E6" s="49"/>
      <c r="F6" s="4" t="s">
        <v>7</v>
      </c>
      <c r="G6" s="49" t="s">
        <v>50</v>
      </c>
      <c r="H6" s="49"/>
      <c r="I6" s="49"/>
      <c r="J6" s="50"/>
    </row>
    <row r="7" spans="2:12" ht="40.5" customHeight="1" x14ac:dyDescent="0.25">
      <c r="B7" s="53" t="s">
        <v>5</v>
      </c>
      <c r="C7" s="49" t="s">
        <v>19</v>
      </c>
      <c r="D7" s="49"/>
      <c r="E7" s="49"/>
      <c r="F7" s="4" t="s">
        <v>40</v>
      </c>
      <c r="G7" s="55"/>
      <c r="H7" s="55"/>
      <c r="I7" s="55"/>
      <c r="J7" s="56"/>
      <c r="L7" s="2"/>
    </row>
    <row r="8" spans="2:12" ht="44.45" customHeight="1" x14ac:dyDescent="0.25">
      <c r="B8" s="54"/>
      <c r="C8" s="49" t="s">
        <v>11</v>
      </c>
      <c r="D8" s="49"/>
      <c r="E8" s="49"/>
      <c r="F8" s="4" t="s">
        <v>18</v>
      </c>
      <c r="G8" s="49" t="s">
        <v>12</v>
      </c>
      <c r="H8" s="49"/>
      <c r="I8" s="49"/>
      <c r="J8" s="50"/>
      <c r="L8" s="2"/>
    </row>
    <row r="9" spans="2:12" ht="42" customHeight="1" x14ac:dyDescent="0.25">
      <c r="B9" s="57" t="s">
        <v>6</v>
      </c>
      <c r="C9" s="58"/>
      <c r="D9" s="58"/>
      <c r="E9" s="58"/>
      <c r="F9" s="58"/>
      <c r="G9" s="58"/>
      <c r="H9" s="58"/>
      <c r="I9" s="58"/>
      <c r="J9" s="59"/>
      <c r="L9" s="2"/>
    </row>
    <row r="10" spans="2:12" ht="54" customHeight="1" x14ac:dyDescent="0.25">
      <c r="B10" s="6" t="s">
        <v>2</v>
      </c>
      <c r="C10" s="49"/>
      <c r="D10" s="49"/>
      <c r="E10" s="49"/>
      <c r="F10" s="4" t="s">
        <v>42</v>
      </c>
      <c r="G10" s="49">
        <v>183</v>
      </c>
      <c r="H10" s="49"/>
      <c r="I10" s="49"/>
      <c r="J10" s="50"/>
      <c r="L10" s="2"/>
    </row>
    <row r="11" spans="2:12" ht="57.6" customHeight="1" x14ac:dyDescent="0.25">
      <c r="B11" s="6" t="s">
        <v>13</v>
      </c>
      <c r="C11" s="49"/>
      <c r="D11" s="49"/>
      <c r="E11" s="49"/>
      <c r="F11" s="4" t="s">
        <v>16</v>
      </c>
      <c r="G11" s="51">
        <f>'平均工資(滿半年)'!$N$11</f>
        <v>9713</v>
      </c>
      <c r="H11" s="51"/>
      <c r="I11" s="51"/>
      <c r="J11" s="52"/>
      <c r="L11" s="2"/>
    </row>
    <row r="12" spans="2:12" ht="47.1" customHeight="1" x14ac:dyDescent="0.25">
      <c r="B12" s="6" t="s">
        <v>8</v>
      </c>
      <c r="C12" s="47">
        <v>456</v>
      </c>
      <c r="D12" s="47"/>
      <c r="E12" s="47"/>
      <c r="F12" s="47"/>
      <c r="G12" s="47"/>
      <c r="H12" s="47"/>
      <c r="I12" s="47"/>
      <c r="J12" s="48"/>
      <c r="L12" s="3"/>
    </row>
    <row r="13" spans="2:12" ht="23.25" customHeight="1" x14ac:dyDescent="0.25">
      <c r="B13" s="36" t="s">
        <v>24</v>
      </c>
      <c r="C13" s="37"/>
      <c r="D13" s="37"/>
      <c r="E13" s="37"/>
      <c r="F13" s="37"/>
      <c r="G13" s="37"/>
      <c r="H13" s="37"/>
      <c r="I13" s="37"/>
      <c r="J13" s="38"/>
    </row>
    <row r="14" spans="2:12" ht="24" customHeight="1" x14ac:dyDescent="0.25">
      <c r="B14" s="39"/>
      <c r="C14" s="40"/>
      <c r="D14" s="40"/>
      <c r="E14" s="40"/>
      <c r="F14" s="40"/>
      <c r="G14" s="40"/>
      <c r="H14" s="40"/>
      <c r="I14" s="40"/>
      <c r="J14" s="41"/>
    </row>
    <row r="15" spans="2:12" ht="30" customHeight="1" x14ac:dyDescent="0.25">
      <c r="B15" s="42"/>
      <c r="C15" s="43"/>
      <c r="D15" s="43"/>
      <c r="E15" s="43"/>
      <c r="F15" s="43"/>
      <c r="G15" s="43"/>
      <c r="H15" s="43"/>
      <c r="I15" s="43"/>
      <c r="J15" s="44"/>
    </row>
    <row r="16" spans="2:12" ht="55.5" customHeight="1" x14ac:dyDescent="0.25">
      <c r="B16" s="5" t="s">
        <v>10</v>
      </c>
      <c r="C16" s="45" t="s">
        <v>21</v>
      </c>
      <c r="D16" s="45"/>
      <c r="E16" s="45" t="s">
        <v>22</v>
      </c>
      <c r="F16" s="45"/>
      <c r="G16" s="45" t="s">
        <v>14</v>
      </c>
      <c r="H16" s="45"/>
      <c r="I16" s="45" t="s">
        <v>23</v>
      </c>
      <c r="J16" s="46"/>
    </row>
    <row r="17" spans="2:10" ht="104.25" customHeight="1" thickBot="1" x14ac:dyDescent="0.3">
      <c r="B17" s="10"/>
      <c r="C17" s="34"/>
      <c r="D17" s="34"/>
      <c r="E17" s="34"/>
      <c r="F17" s="34"/>
      <c r="G17" s="34"/>
      <c r="H17" s="34"/>
      <c r="I17" s="34"/>
      <c r="J17" s="35"/>
    </row>
  </sheetData>
  <mergeCells count="31">
    <mergeCell ref="C17:D17"/>
    <mergeCell ref="E17:F17"/>
    <mergeCell ref="G17:H17"/>
    <mergeCell ref="I17:J17"/>
    <mergeCell ref="B9:J9"/>
    <mergeCell ref="C10:E10"/>
    <mergeCell ref="G10:J10"/>
    <mergeCell ref="C11:E11"/>
    <mergeCell ref="G11:J11"/>
    <mergeCell ref="C12:J12"/>
    <mergeCell ref="B13:J15"/>
    <mergeCell ref="C16:D16"/>
    <mergeCell ref="E16:F16"/>
    <mergeCell ref="G16:H16"/>
    <mergeCell ref="I16:J16"/>
    <mergeCell ref="G6:J6"/>
    <mergeCell ref="B7:B8"/>
    <mergeCell ref="C7:E7"/>
    <mergeCell ref="G7:J7"/>
    <mergeCell ref="C8:E8"/>
    <mergeCell ref="G8:J8"/>
    <mergeCell ref="B5:B6"/>
    <mergeCell ref="C5:C6"/>
    <mergeCell ref="D5:D6"/>
    <mergeCell ref="E5:E6"/>
    <mergeCell ref="G5:J5"/>
    <mergeCell ref="B1:J2"/>
    <mergeCell ref="C3:E3"/>
    <mergeCell ref="G3:J3"/>
    <mergeCell ref="C4:E4"/>
    <mergeCell ref="G4:J4"/>
  </mergeCells>
  <phoneticPr fontId="1" type="noConversion"/>
  <hyperlinks>
    <hyperlink ref="L1" r:id="rId1" xr:uid="{8708F963-28DF-4897-90A2-1260AF4AA5FE}"/>
  </hyperlinks>
  <printOptions horizontalCentered="1"/>
  <pageMargins left="0.62992125984251968" right="0.62992125984251968" top="0.94488188976377963" bottom="0.94488188976377963" header="0.31496062992125984" footer="0.31496062992125984"/>
  <pageSetup paperSize="9" scale="90" fitToHeight="0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A0A-F4F1-4A43-B7A5-765E5545E794}">
  <dimension ref="B1:AC11"/>
  <sheetViews>
    <sheetView topLeftCell="H1" workbookViewId="0">
      <selection activeCell="M20" sqref="M20"/>
    </sheetView>
  </sheetViews>
  <sheetFormatPr defaultColWidth="9" defaultRowHeight="16.5" x14ac:dyDescent="0.25"/>
  <cols>
    <col min="1" max="2" width="9" style="1"/>
    <col min="3" max="3" width="9" style="11"/>
    <col min="4" max="8" width="14.875" style="1" customWidth="1"/>
    <col min="9" max="13" width="9" style="1"/>
    <col min="14" max="14" width="13.25" style="1" customWidth="1"/>
    <col min="15" max="16384" width="9" style="1"/>
  </cols>
  <sheetData>
    <row r="1" spans="2:29" ht="17.25" thickBot="1" x14ac:dyDescent="0.3">
      <c r="K1" s="25" t="s">
        <v>34</v>
      </c>
      <c r="L1" s="26"/>
    </row>
    <row r="2" spans="2:29" ht="17.25" thickTop="1" x14ac:dyDescent="0.25">
      <c r="B2" s="12" t="s">
        <v>37</v>
      </c>
      <c r="C2" s="12" t="s">
        <v>25</v>
      </c>
      <c r="D2" s="12" t="s">
        <v>26</v>
      </c>
      <c r="E2" s="12" t="s">
        <v>27</v>
      </c>
      <c r="F2" s="13" t="s">
        <v>28</v>
      </c>
      <c r="G2" s="12" t="s">
        <v>29</v>
      </c>
      <c r="H2" s="12" t="s">
        <v>39</v>
      </c>
      <c r="I2" s="13" t="s">
        <v>30</v>
      </c>
      <c r="J2" s="13" t="s">
        <v>31</v>
      </c>
      <c r="K2" s="14" t="s">
        <v>32</v>
      </c>
      <c r="L2" s="15" t="s">
        <v>33</v>
      </c>
      <c r="M2" s="16" t="s">
        <v>36</v>
      </c>
      <c r="N2" s="16" t="s">
        <v>35</v>
      </c>
      <c r="Z2" s="67" t="s">
        <v>55</v>
      </c>
      <c r="AA2" s="67"/>
      <c r="AB2" s="67"/>
      <c r="AC2" s="67"/>
    </row>
    <row r="3" spans="2:29" x14ac:dyDescent="0.25">
      <c r="B3" s="27">
        <v>114</v>
      </c>
      <c r="C3" s="17">
        <v>11</v>
      </c>
      <c r="D3" s="18">
        <v>34000</v>
      </c>
      <c r="E3" s="18">
        <v>0</v>
      </c>
      <c r="F3" s="18">
        <v>0</v>
      </c>
      <c r="G3" s="18">
        <f>D3+F3</f>
        <v>34000</v>
      </c>
      <c r="H3" s="23">
        <v>-2266</v>
      </c>
      <c r="I3" s="18"/>
      <c r="J3" s="18">
        <f>ROUND((G3/30/8/60)*I3,0)</f>
        <v>0</v>
      </c>
      <c r="K3" s="18">
        <v>2.5</v>
      </c>
      <c r="L3" s="20">
        <f t="shared" ref="L3:L7" si="0">ROUND((G3/30/8)*K3,0)</f>
        <v>354</v>
      </c>
      <c r="M3" s="18"/>
      <c r="N3" s="18">
        <f>G3-J3-L3+M3+H3</f>
        <v>31380</v>
      </c>
      <c r="Z3" s="67"/>
      <c r="AA3" s="67"/>
      <c r="AB3" s="67"/>
      <c r="AC3" s="67"/>
    </row>
    <row r="4" spans="2:29" x14ac:dyDescent="0.25">
      <c r="B4" s="28"/>
      <c r="C4" s="17">
        <v>10</v>
      </c>
      <c r="D4" s="18">
        <v>34000</v>
      </c>
      <c r="E4" s="18">
        <v>0</v>
      </c>
      <c r="F4" s="18">
        <v>0</v>
      </c>
      <c r="G4" s="18">
        <f t="shared" ref="G4:G9" si="1">D4+F4</f>
        <v>34000</v>
      </c>
      <c r="H4" s="23">
        <v>-5666</v>
      </c>
      <c r="I4" s="18">
        <v>8</v>
      </c>
      <c r="J4" s="18">
        <f t="shared" ref="J4:J9" si="2">ROUND((G4/30/8/60)*I4,0)</f>
        <v>19</v>
      </c>
      <c r="K4" s="18">
        <v>10</v>
      </c>
      <c r="L4" s="20">
        <f t="shared" si="0"/>
        <v>1417</v>
      </c>
      <c r="M4" s="18"/>
      <c r="N4" s="18">
        <f t="shared" ref="N4:N9" si="3">G4-J4-L4+M4+H4</f>
        <v>26898</v>
      </c>
      <c r="Z4" s="67"/>
      <c r="AA4" s="67"/>
      <c r="AB4" s="67"/>
      <c r="AC4" s="67"/>
    </row>
    <row r="5" spans="2:29" x14ac:dyDescent="0.25">
      <c r="B5" s="28"/>
      <c r="C5" s="17"/>
      <c r="D5" s="18"/>
      <c r="E5" s="18"/>
      <c r="F5" s="18"/>
      <c r="G5" s="18">
        <f t="shared" si="1"/>
        <v>0</v>
      </c>
      <c r="H5" s="18"/>
      <c r="I5" s="18"/>
      <c r="J5" s="18">
        <f t="shared" si="2"/>
        <v>0</v>
      </c>
      <c r="K5" s="18"/>
      <c r="L5" s="20">
        <f t="shared" si="0"/>
        <v>0</v>
      </c>
      <c r="M5" s="18"/>
      <c r="N5" s="18">
        <f t="shared" si="3"/>
        <v>0</v>
      </c>
      <c r="Z5" s="67"/>
      <c r="AA5" s="67"/>
      <c r="AB5" s="67"/>
      <c r="AC5" s="67"/>
    </row>
    <row r="6" spans="2:29" x14ac:dyDescent="0.25">
      <c r="B6" s="28"/>
      <c r="C6" s="17"/>
      <c r="D6" s="18"/>
      <c r="E6" s="18"/>
      <c r="F6" s="18"/>
      <c r="G6" s="18">
        <f t="shared" si="1"/>
        <v>0</v>
      </c>
      <c r="H6" s="23"/>
      <c r="I6" s="18"/>
      <c r="J6" s="18">
        <f t="shared" si="2"/>
        <v>0</v>
      </c>
      <c r="K6" s="18"/>
      <c r="L6" s="20">
        <f t="shared" si="0"/>
        <v>0</v>
      </c>
      <c r="M6" s="18"/>
      <c r="N6" s="18">
        <f t="shared" si="3"/>
        <v>0</v>
      </c>
      <c r="Z6" s="67"/>
      <c r="AA6" s="67"/>
      <c r="AB6" s="67"/>
      <c r="AC6" s="67"/>
    </row>
    <row r="7" spans="2:29" x14ac:dyDescent="0.25">
      <c r="B7" s="28"/>
      <c r="C7" s="17"/>
      <c r="D7" s="18"/>
      <c r="E7" s="18"/>
      <c r="F7" s="18"/>
      <c r="G7" s="18">
        <f t="shared" si="1"/>
        <v>0</v>
      </c>
      <c r="H7" s="18"/>
      <c r="I7" s="18"/>
      <c r="J7" s="18">
        <f t="shared" si="2"/>
        <v>0</v>
      </c>
      <c r="K7" s="18"/>
      <c r="L7" s="20">
        <f t="shared" si="0"/>
        <v>0</v>
      </c>
      <c r="M7" s="18"/>
      <c r="N7" s="18">
        <f t="shared" si="3"/>
        <v>0</v>
      </c>
      <c r="Z7" s="67"/>
      <c r="AA7" s="67"/>
      <c r="AB7" s="67"/>
      <c r="AC7" s="67"/>
    </row>
    <row r="8" spans="2:29" x14ac:dyDescent="0.25">
      <c r="B8" s="29"/>
      <c r="C8" s="19"/>
      <c r="D8" s="18"/>
      <c r="E8" s="20"/>
      <c r="F8" s="18"/>
      <c r="G8" s="20">
        <f t="shared" si="1"/>
        <v>0</v>
      </c>
      <c r="H8" s="23"/>
      <c r="I8" s="20"/>
      <c r="J8" s="20">
        <f t="shared" si="2"/>
        <v>0</v>
      </c>
      <c r="K8" s="20"/>
      <c r="L8" s="20">
        <f>ROUND((G8/30/8)*K8,0)</f>
        <v>0</v>
      </c>
      <c r="M8" s="20"/>
      <c r="N8" s="18">
        <f t="shared" si="3"/>
        <v>0</v>
      </c>
      <c r="Z8" s="67"/>
      <c r="AA8" s="67"/>
      <c r="AB8" s="67"/>
      <c r="AC8" s="67"/>
    </row>
    <row r="9" spans="2:29" ht="17.25" thickBot="1" x14ac:dyDescent="0.3">
      <c r="B9" s="17"/>
      <c r="C9" s="19"/>
      <c r="D9" s="20"/>
      <c r="E9" s="20"/>
      <c r="F9" s="18"/>
      <c r="G9" s="20">
        <f t="shared" si="1"/>
        <v>0</v>
      </c>
      <c r="H9" s="23"/>
      <c r="I9" s="20"/>
      <c r="J9" s="20">
        <f t="shared" si="2"/>
        <v>0</v>
      </c>
      <c r="K9" s="20"/>
      <c r="L9" s="20"/>
      <c r="M9" s="20"/>
      <c r="N9" s="18">
        <f t="shared" si="3"/>
        <v>0</v>
      </c>
      <c r="Z9" s="67"/>
      <c r="AA9" s="67"/>
      <c r="AB9" s="67"/>
      <c r="AC9" s="67"/>
    </row>
    <row r="10" spans="2:29" x14ac:dyDescent="0.25">
      <c r="B10" s="30" t="s">
        <v>9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21">
        <f>SUM(N3:N9)</f>
        <v>58278</v>
      </c>
      <c r="Z10" s="67"/>
      <c r="AA10" s="67"/>
      <c r="AB10" s="67"/>
      <c r="AC10" s="67"/>
    </row>
    <row r="11" spans="2:29" ht="17.25" thickBot="1" x14ac:dyDescent="0.3">
      <c r="B11" s="32" t="s">
        <v>38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22">
        <f>N10/6</f>
        <v>9713</v>
      </c>
      <c r="O11" s="2"/>
      <c r="Z11" s="67"/>
      <c r="AA11" s="67"/>
      <c r="AB11" s="67"/>
      <c r="AC11" s="67"/>
    </row>
  </sheetData>
  <mergeCells count="5">
    <mergeCell ref="K1:L1"/>
    <mergeCell ref="B3:B8"/>
    <mergeCell ref="B10:M10"/>
    <mergeCell ref="B11:M11"/>
    <mergeCell ref="Z2:AC11"/>
  </mergeCells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通知書</vt:lpstr>
      <vt:lpstr>平均工資(未滿半年)</vt:lpstr>
      <vt:lpstr>通知書 (2)</vt:lpstr>
      <vt:lpstr>平均工資(滿半年)</vt:lpstr>
      <vt:lpstr>通知書!Print_Area</vt:lpstr>
      <vt:lpstr>'通知書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陳致寧</dc:creator>
  <cp:lastModifiedBy>卷 卷</cp:lastModifiedBy>
  <cp:lastPrinted>2025-08-08T09:45:15Z</cp:lastPrinted>
  <dcterms:created xsi:type="dcterms:W3CDTF">2020-03-26T09:23:51Z</dcterms:created>
  <dcterms:modified xsi:type="dcterms:W3CDTF">2026-07-08T02:51:48Z</dcterms:modified>
</cp:coreProperties>
</file>